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8f3041d9daf668b5/デスクトップ/広大神輝抄_マニュアル/"/>
    </mc:Choice>
  </mc:AlternateContent>
  <xr:revisionPtr revIDLastSave="114" documentId="11_AD4D066CA252ABDACC1048A0E955CFF873EEDF5B" xr6:coauthVersionLast="47" xr6:coauthVersionMax="47" xr10:uidLastSave="{DEBE08BC-3C57-4215-9D4F-D3A2F74E2E38}"/>
  <bookViews>
    <workbookView xWindow="390" yWindow="390" windowWidth="21600" windowHeight="11295" activeTab="3" xr2:uid="{00000000-000D-0000-FFFF-FFFF00000000}"/>
  </bookViews>
  <sheets>
    <sheet name="立替金" sheetId="1" r:id="rId1"/>
    <sheet name="立替人毎合計ピポットテーブル" sheetId="2" r:id="rId2"/>
    <sheet name="返金チェック" sheetId="3" r:id="rId3"/>
    <sheet name="レシート帳" sheetId="4" r:id="rId4"/>
  </sheet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3" l="1"/>
  <c r="N4" i="3"/>
  <c r="N2" i="3"/>
</calcChain>
</file>

<file path=xl/sharedStrings.xml><?xml version="1.0" encoding="utf-8"?>
<sst xmlns="http://schemas.openxmlformats.org/spreadsheetml/2006/main" count="29" uniqueCount="23">
  <si>
    <t>日時</t>
    <rPh sb="0" eb="2">
      <t>ニチジ</t>
    </rPh>
    <phoneticPr fontId="2"/>
  </si>
  <si>
    <t>立替者</t>
    <rPh sb="0" eb="3">
      <t>タテカエシャ</t>
    </rPh>
    <phoneticPr fontId="2"/>
  </si>
  <si>
    <t>名称</t>
    <rPh sb="0" eb="2">
      <t>メイショウ</t>
    </rPh>
    <phoneticPr fontId="2"/>
  </si>
  <si>
    <t>金額</t>
    <rPh sb="0" eb="2">
      <t>キンガク</t>
    </rPh>
    <phoneticPr fontId="2"/>
  </si>
  <si>
    <t>メンバーA</t>
  </si>
  <si>
    <t>メンバーA</t>
    <phoneticPr fontId="2"/>
  </si>
  <si>
    <t>商品A</t>
    <rPh sb="0" eb="2">
      <t>ショウヒン</t>
    </rPh>
    <phoneticPr fontId="2"/>
  </si>
  <si>
    <t>メンバーB</t>
  </si>
  <si>
    <t>メンバーB</t>
    <phoneticPr fontId="2"/>
  </si>
  <si>
    <t>商品B</t>
    <rPh sb="0" eb="2">
      <t>ショウヒン</t>
    </rPh>
    <phoneticPr fontId="2"/>
  </si>
  <si>
    <t>商品C</t>
    <rPh sb="0" eb="2">
      <t>ショウヒン</t>
    </rPh>
    <phoneticPr fontId="2"/>
  </si>
  <si>
    <t>行ラベル</t>
  </si>
  <si>
    <t>総計</t>
  </si>
  <si>
    <t>合計 / 金額</t>
  </si>
  <si>
    <t>メンバーC</t>
  </si>
  <si>
    <t>メンバーC</t>
    <phoneticPr fontId="2"/>
  </si>
  <si>
    <t>商品D</t>
    <rPh sb="0" eb="2">
      <t>ショウヒン</t>
    </rPh>
    <phoneticPr fontId="2"/>
  </si>
  <si>
    <t>商品E</t>
    <rPh sb="0" eb="2">
      <t>ショウヒン</t>
    </rPh>
    <phoneticPr fontId="2"/>
  </si>
  <si>
    <t>立替人</t>
    <rPh sb="0" eb="3">
      <t>タテカエニン</t>
    </rPh>
    <phoneticPr fontId="2"/>
  </si>
  <si>
    <t>合計</t>
    <rPh sb="0" eb="2">
      <t>ゴウケイ</t>
    </rPh>
    <phoneticPr fontId="2"/>
  </si>
  <si>
    <t>返金チェック</t>
    <rPh sb="0" eb="2">
      <t>ヘンキン</t>
    </rPh>
    <phoneticPr fontId="2"/>
  </si>
  <si>
    <t>y</t>
    <phoneticPr fontId="2"/>
  </si>
  <si>
    <t>金額合計</t>
    <rPh sb="0" eb="4">
      <t>キンガクゴウケイ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</si>
</sst>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3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6" fontId="1" fillId="0" borderId="0" applyFont="0" applyFill="0" applyBorder="0" applyAlignment="0" applyProtection="0">
      <alignment vertical="center"/>
    </xf>
  </cellStyleXfs>
  <cellXfs count="25">
    <xf numFmtId="0" fontId="0" fillId="0" borderId="0" xfId="0"/>
    <xf numFmtId="14" fontId="0" fillId="0" borderId="0" xfId="0" applyNumberFormat="1"/>
    <xf numFmtId="6" fontId="0" fillId="0" borderId="0" xfId="1" applyFont="1" applyAlignment="1"/>
    <xf numFmtId="0" fontId="0" fillId="0" borderId="0" xfId="0" pivotButton="1"/>
    <xf numFmtId="0" fontId="0" fillId="0" borderId="0" xfId="0" applyAlignment="1">
      <alignment horizontal="left"/>
    </xf>
    <xf numFmtId="6" fontId="0" fillId="0" borderId="0" xfId="0" applyNumberFormat="1"/>
    <xf numFmtId="0" fontId="0" fillId="0" borderId="1" xfId="0" applyBorder="1"/>
    <xf numFmtId="6" fontId="0" fillId="0" borderId="1" xfId="0" applyNumberFormat="1" applyBorder="1"/>
    <xf numFmtId="0" fontId="0" fillId="0" borderId="2" xfId="0" applyBorder="1"/>
    <xf numFmtId="6" fontId="0" fillId="0" borderId="3" xfId="1" applyFont="1" applyBorder="1" applyAlignment="1"/>
    <xf numFmtId="6" fontId="0" fillId="0" borderId="4" xfId="1" applyFont="1" applyBorder="1" applyAlignment="1"/>
    <xf numFmtId="6" fontId="0" fillId="0" borderId="5" xfId="1" applyFont="1" applyBorder="1" applyAlignme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3" xfId="0" applyBorder="1"/>
    <xf numFmtId="0" fontId="0" fillId="0" borderId="4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6" fontId="0" fillId="0" borderId="9" xfId="0" applyNumberFormat="1" applyBorder="1"/>
    <xf numFmtId="0" fontId="0" fillId="0" borderId="14" xfId="0" applyBorder="1"/>
    <xf numFmtId="0" fontId="0" fillId="0" borderId="15" xfId="0" applyBorder="1"/>
  </cellXfs>
  <cellStyles count="2">
    <cellStyle name="通貨" xfId="1" builtinId="7"/>
    <cellStyle name="標準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family val="2"/>
        <scheme val="minor"/>
      </font>
      <alignment horizontal="general" vertical="bottom" textRotation="0" wrapText="0" indent="0" justifyLastLine="0" shrinkToFit="0" readingOrder="0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ublicdomainpictures.net/en/view-image.php?image=1767&amp;picture=receipt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609600</xdr:colOff>
      <xdr:row>9</xdr:row>
      <xdr:rowOff>76200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0B67B87-8093-F06A-F9B3-A01ABCA89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685800" y="238125"/>
          <a:ext cx="1981200" cy="19812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ファイアーfaia" refreshedDate="46064.032932870374" createdVersion="8" refreshedVersion="8" minRefreshableVersion="3" recordCount="5" xr:uid="{AF977B0F-C4A4-4B22-9EBE-959B65416834}">
  <cacheSource type="worksheet">
    <worksheetSource name="テーブル1"/>
  </cacheSource>
  <cacheFields count="4">
    <cacheField name="日時" numFmtId="14">
      <sharedItems containsSemiMixedTypes="0" containsNonDate="0" containsDate="1" containsString="0" minDate="2026-02-10T00:00:00" maxDate="2026-02-14T00:00:00"/>
    </cacheField>
    <cacheField name="立替者" numFmtId="0">
      <sharedItems count="3">
        <s v="メンバーA"/>
        <s v="メンバーB"/>
        <s v="メンバーC"/>
      </sharedItems>
    </cacheField>
    <cacheField name="名称" numFmtId="0">
      <sharedItems/>
    </cacheField>
    <cacheField name="金額" numFmtId="6">
      <sharedItems containsSemiMixedTypes="0" containsString="0" containsNumber="1" containsInteger="1" minValue="6" maxValue="4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d v="2026-02-11T00:00:00"/>
    <x v="0"/>
    <s v="商品A"/>
    <n v="500"/>
  </r>
  <r>
    <d v="2026-02-13T00:00:00"/>
    <x v="0"/>
    <s v="商品C"/>
    <n v="4800"/>
  </r>
  <r>
    <d v="2026-02-10T00:00:00"/>
    <x v="0"/>
    <s v="商品E"/>
    <n v="800"/>
  </r>
  <r>
    <d v="2026-02-11T00:00:00"/>
    <x v="1"/>
    <s v="商品B"/>
    <n v="6"/>
  </r>
  <r>
    <d v="2026-02-12T00:00:00"/>
    <x v="2"/>
    <s v="商品D"/>
    <n v="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01B280-8F5F-4C8F-9F23-4C2D21CA7E77}" name="ピボットテーブル1" cacheId="2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7" firstHeaderRow="1" firstDataRow="1" firstDataCol="1"/>
  <pivotFields count="4">
    <pivotField numFmtId="14" showAll="0"/>
    <pivotField axis="axisRow" showAll="0">
      <items count="4">
        <item x="0"/>
        <item x="1"/>
        <item x="2"/>
        <item t="default"/>
      </items>
    </pivotField>
    <pivotField showAll="0"/>
    <pivotField dataField="1" numFmtId="6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合計 / 金額" fld="3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63EBC6-0B31-4B18-AC71-75581314FAE7}" name="テーブル1" displayName="テーブル1" ref="A1:D6" totalsRowShown="0">
  <autoFilter ref="A1:D6" xr:uid="{E063EBC6-0B31-4B18-AC71-75581314FAE7}"/>
  <sortState xmlns:xlrd2="http://schemas.microsoft.com/office/spreadsheetml/2017/richdata2" ref="A2:D6">
    <sortCondition ref="B1:B6"/>
  </sortState>
  <tableColumns count="4">
    <tableColumn id="1" xr3:uid="{FFD83CA6-CD13-4973-9649-F7DABF337BCA}" name="日時" dataDxfId="1"/>
    <tableColumn id="2" xr3:uid="{3D3DB4C1-C8AD-4105-96E3-C0896EE97017}" name="立替者"/>
    <tableColumn id="3" xr3:uid="{7D702C48-253E-4D70-94BF-0F101DA4E88E}" name="名称"/>
    <tableColumn id="4" xr3:uid="{60386EE5-492D-4DD5-AFC8-62D1DF0D7E0A}" name="金額" dataDxfId="0" dataCellStyle="通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D15" sqref="D15"/>
    </sheetView>
  </sheetViews>
  <sheetFormatPr defaultRowHeight="18.75"/>
  <cols>
    <col min="1" max="1" width="10.25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46064</v>
      </c>
      <c r="B2" t="s">
        <v>5</v>
      </c>
      <c r="C2" t="s">
        <v>6</v>
      </c>
      <c r="D2" s="2">
        <v>500</v>
      </c>
    </row>
    <row r="3" spans="1:4">
      <c r="A3" s="1">
        <v>46066</v>
      </c>
      <c r="B3" t="s">
        <v>5</v>
      </c>
      <c r="C3" t="s">
        <v>10</v>
      </c>
      <c r="D3" s="2">
        <v>4800</v>
      </c>
    </row>
    <row r="4" spans="1:4">
      <c r="A4" s="1">
        <v>46063</v>
      </c>
      <c r="B4" t="s">
        <v>5</v>
      </c>
      <c r="C4" t="s">
        <v>17</v>
      </c>
      <c r="D4" s="2">
        <v>800</v>
      </c>
    </row>
    <row r="5" spans="1:4">
      <c r="A5" s="1">
        <v>46064</v>
      </c>
      <c r="B5" t="s">
        <v>8</v>
      </c>
      <c r="C5" t="s">
        <v>9</v>
      </c>
      <c r="D5" s="2">
        <v>6</v>
      </c>
    </row>
    <row r="6" spans="1:4">
      <c r="A6" s="1">
        <v>46065</v>
      </c>
      <c r="B6" t="s">
        <v>15</v>
      </c>
      <c r="C6" t="s">
        <v>16</v>
      </c>
      <c r="D6" s="2">
        <v>500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87B5A-0636-4DFB-A52F-CFE09CAF6572}">
  <dimension ref="A3:B7"/>
  <sheetViews>
    <sheetView workbookViewId="0">
      <selection activeCell="B3" sqref="A3:B7"/>
    </sheetView>
  </sheetViews>
  <sheetFormatPr defaultRowHeight="18.75"/>
  <cols>
    <col min="1" max="1" width="11.25" bestFit="1" customWidth="1"/>
    <col min="2" max="2" width="11.375" bestFit="1" customWidth="1"/>
  </cols>
  <sheetData>
    <row r="3" spans="1:2">
      <c r="A3" s="3" t="s">
        <v>11</v>
      </c>
      <c r="B3" t="s">
        <v>13</v>
      </c>
    </row>
    <row r="4" spans="1:2">
      <c r="A4" s="4" t="s">
        <v>4</v>
      </c>
      <c r="B4" s="5">
        <v>6100</v>
      </c>
    </row>
    <row r="5" spans="1:2">
      <c r="A5" s="4" t="s">
        <v>7</v>
      </c>
      <c r="B5" s="5">
        <v>6</v>
      </c>
    </row>
    <row r="6" spans="1:2">
      <c r="A6" s="4" t="s">
        <v>14</v>
      </c>
      <c r="B6" s="5">
        <v>500</v>
      </c>
    </row>
    <row r="7" spans="1:2">
      <c r="A7" s="4" t="s">
        <v>12</v>
      </c>
      <c r="B7" s="5">
        <v>6606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5AF28-2AEA-433F-A15F-2B0278F09917}">
  <dimension ref="A1:N5"/>
  <sheetViews>
    <sheetView zoomScaleNormal="100" workbookViewId="0">
      <selection activeCell="I14" sqref="I14"/>
    </sheetView>
  </sheetViews>
  <sheetFormatPr defaultRowHeight="18.75"/>
  <cols>
    <col min="1" max="1" width="10.25" bestFit="1" customWidth="1"/>
    <col min="2" max="2" width="7.125" bestFit="1" customWidth="1"/>
    <col min="3" max="3" width="13" bestFit="1" customWidth="1"/>
    <col min="4" max="4" width="4.5" bestFit="1" customWidth="1"/>
    <col min="5" max="5" width="3.625" bestFit="1" customWidth="1"/>
    <col min="6" max="7" width="4.625" bestFit="1" customWidth="1"/>
    <col min="8" max="9" width="5.625" bestFit="1" customWidth="1"/>
    <col min="10" max="12" width="7.125" bestFit="1" customWidth="1"/>
    <col min="13" max="13" width="8.125" bestFit="1" customWidth="1"/>
  </cols>
  <sheetData>
    <row r="1" spans="1:14">
      <c r="A1" s="17" t="s">
        <v>18</v>
      </c>
      <c r="B1" s="18" t="s">
        <v>19</v>
      </c>
      <c r="C1" s="19" t="s">
        <v>20</v>
      </c>
      <c r="D1" s="9">
        <v>1</v>
      </c>
      <c r="E1" s="10">
        <v>5</v>
      </c>
      <c r="F1" s="10">
        <v>10</v>
      </c>
      <c r="G1" s="10">
        <v>50</v>
      </c>
      <c r="H1" s="10">
        <v>100</v>
      </c>
      <c r="I1" s="10">
        <v>500</v>
      </c>
      <c r="J1" s="10">
        <v>1000</v>
      </c>
      <c r="K1" s="10">
        <v>2000</v>
      </c>
      <c r="L1" s="10">
        <v>5000</v>
      </c>
      <c r="M1" s="11">
        <v>10000</v>
      </c>
      <c r="N1" s="20" t="s">
        <v>22</v>
      </c>
    </row>
    <row r="2" spans="1:14">
      <c r="A2" s="12" t="s">
        <v>4</v>
      </c>
      <c r="B2" s="7">
        <v>6100</v>
      </c>
      <c r="C2" s="8" t="s">
        <v>21</v>
      </c>
      <c r="D2" s="12">
        <v>0</v>
      </c>
      <c r="E2" s="6">
        <v>0</v>
      </c>
      <c r="F2" s="6">
        <v>0</v>
      </c>
      <c r="G2" s="6">
        <v>0</v>
      </c>
      <c r="H2" s="6">
        <v>1</v>
      </c>
      <c r="I2" s="6">
        <v>0</v>
      </c>
      <c r="J2" s="6">
        <v>1</v>
      </c>
      <c r="K2" s="6">
        <v>0</v>
      </c>
      <c r="L2" s="6">
        <v>1</v>
      </c>
      <c r="M2" s="13">
        <v>0</v>
      </c>
      <c r="N2" s="21">
        <f>SUMPRODUCT($D$1:$M$1,D2:M2)</f>
        <v>6100</v>
      </c>
    </row>
    <row r="3" spans="1:14">
      <c r="A3" s="12" t="s">
        <v>7</v>
      </c>
      <c r="B3" s="7">
        <v>6</v>
      </c>
      <c r="C3" s="8"/>
      <c r="D3" s="12"/>
      <c r="E3" s="6"/>
      <c r="F3" s="6"/>
      <c r="G3" s="6"/>
      <c r="H3" s="6"/>
      <c r="I3" s="6"/>
      <c r="J3" s="6"/>
      <c r="K3" s="6"/>
      <c r="L3" s="6"/>
      <c r="M3" s="13"/>
      <c r="N3" s="21">
        <f t="shared" ref="N3:N4" si="0">SUMPRODUCT($D$1:$M$1,D3:M3)</f>
        <v>0</v>
      </c>
    </row>
    <row r="4" spans="1:14" ht="19.5" thickBot="1">
      <c r="A4" s="14" t="s">
        <v>14</v>
      </c>
      <c r="B4" s="22">
        <v>500</v>
      </c>
      <c r="C4" s="23" t="s">
        <v>21</v>
      </c>
      <c r="D4" s="14">
        <v>500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6">
        <v>0</v>
      </c>
      <c r="N4" s="24">
        <f t="shared" si="0"/>
        <v>500</v>
      </c>
    </row>
    <row r="5" spans="1:14">
      <c r="B5" s="5"/>
    </row>
  </sheetData>
  <phoneticPr fontId="2"/>
  <pageMargins left="0.7" right="0.7" top="0.75" bottom="0.75" header="0.3" footer="0.3"/>
  <pageSetup paperSize="9" scale="8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A4B0F-4D4E-4AD2-AC2E-6DAB8010F8AE}">
  <dimension ref="A1"/>
  <sheetViews>
    <sheetView tabSelected="1" workbookViewId="0">
      <selection activeCell="B2" sqref="B2"/>
    </sheetView>
  </sheetViews>
  <sheetFormatPr defaultRowHeight="18.75"/>
  <sheetData/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立替金</vt:lpstr>
      <vt:lpstr>立替人毎合計ピポットテーブル</vt:lpstr>
      <vt:lpstr>返金チェック</vt:lpstr>
      <vt:lpstr>レシート帳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ファイアーfaia</dc:creator>
  <cp:lastModifiedBy>faia ファイアー</cp:lastModifiedBy>
  <dcterms:created xsi:type="dcterms:W3CDTF">2015-06-05T18:19:34Z</dcterms:created>
  <dcterms:modified xsi:type="dcterms:W3CDTF">2026-02-10T16:15:17Z</dcterms:modified>
</cp:coreProperties>
</file>